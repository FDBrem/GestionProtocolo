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Ambiente" sheetId="1" r:id="rId1"/>
  </sheets>
  <calcPr calcId="181029"/>
  <extLst>
    <ext uri="GoogleSheetsCustomDataVersion2">
      <go:sheetsCustomData xmlns:go="http://customooxmlschemas.google.com/" r:id="rId7" roundtripDataChecksum="NiKDvfI62TjYOU5ydujnNKQHDUydr6zIVHJYAP5eG7M="/>
    </ext>
  </extLst>
</workbook>
</file>

<file path=xl/calcChain.xml><?xml version="1.0" encoding="utf-8"?>
<calcChain xmlns="http://schemas.openxmlformats.org/spreadsheetml/2006/main">
  <c r="E13" i="1" l="1"/>
  <c r="E12" i="1"/>
  <c r="E41" i="1"/>
  <c r="E40" i="1"/>
  <c r="E39" i="1"/>
  <c r="E34" i="1"/>
  <c r="E33" i="1"/>
  <c r="E27" i="1"/>
  <c r="E26" i="1"/>
  <c r="E20" i="1"/>
  <c r="E19" i="1"/>
</calcChain>
</file>

<file path=xl/sharedStrings.xml><?xml version="1.0" encoding="utf-8"?>
<sst xmlns="http://schemas.openxmlformats.org/spreadsheetml/2006/main" count="72" uniqueCount="28">
  <si>
    <t>Laboratorio Interno</t>
  </si>
  <si>
    <t>Año:</t>
  </si>
  <si>
    <t>Planta Frigorifica Bonnin S de H</t>
  </si>
  <si>
    <t>Mes:</t>
  </si>
  <si>
    <t>Metodo:</t>
  </si>
  <si>
    <t>Contacto</t>
  </si>
  <si>
    <t xml:space="preserve">Equipo: </t>
  </si>
  <si>
    <t>Placas Petrifilm</t>
  </si>
  <si>
    <t>Analisis a realizar:</t>
  </si>
  <si>
    <t xml:space="preserve"> Aerobios</t>
  </si>
  <si>
    <t>Fecha:</t>
  </si>
  <si>
    <t>Resultado de la muestra</t>
  </si>
  <si>
    <t>Hora</t>
  </si>
  <si>
    <t>Sector</t>
  </si>
  <si>
    <t>Producto Analizar</t>
  </si>
  <si>
    <r>
      <rPr>
        <b/>
        <sz val="12"/>
        <color theme="1"/>
        <rFont val="Arial"/>
      </rPr>
      <t>UFC/cm</t>
    </r>
    <r>
      <rPr>
        <b/>
        <vertAlign val="superscript"/>
        <sz val="12"/>
        <color theme="1"/>
        <rFont val="Arial"/>
      </rPr>
      <t>2</t>
    </r>
  </si>
  <si>
    <t>Laboratorio</t>
  </si>
  <si>
    <t>Ambiente</t>
  </si>
  <si>
    <r>
      <rPr>
        <b/>
        <sz val="12"/>
        <color theme="1"/>
        <rFont val="Arial"/>
      </rPr>
      <t>UFC/cm</t>
    </r>
    <r>
      <rPr>
        <b/>
        <vertAlign val="superscript"/>
        <sz val="12"/>
        <color theme="1"/>
        <rFont val="Arial"/>
      </rPr>
      <t>2</t>
    </r>
  </si>
  <si>
    <r>
      <rPr>
        <b/>
        <sz val="12"/>
        <color theme="1"/>
        <rFont val="Arial"/>
      </rPr>
      <t>UFC/cm</t>
    </r>
    <r>
      <rPr>
        <b/>
        <vertAlign val="superscript"/>
        <sz val="12"/>
        <color theme="1"/>
        <rFont val="Arial"/>
      </rPr>
      <t>2</t>
    </r>
  </si>
  <si>
    <t>Firma:</t>
  </si>
  <si>
    <t>Paletizado</t>
  </si>
  <si>
    <t>Trozado</t>
  </si>
  <si>
    <t>Empaque de Aves</t>
  </si>
  <si>
    <t>Sala de Utensillos</t>
  </si>
  <si>
    <t>Octubre</t>
  </si>
  <si>
    <t>Garras</t>
  </si>
  <si>
    <t>Corazones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</si>
</sst>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8"/>
      <color theme="1"/>
      <name val="Arial"/>
    </font>
    <font>
      <b/>
      <sz val="14"/>
      <color theme="1"/>
      <name val="Arial"/>
    </font>
    <font>
      <sz val="10"/>
      <name val="Arial"/>
    </font>
    <font>
      <b/>
      <sz val="11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b/>
      <vertAlign val="superscript"/>
      <sz val="12"/>
      <color theme="1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5" xfId="0" applyFont="1" applyBorder="1" applyAlignment="1">
      <alignment horizontal="center" vertical="center"/>
    </xf>
    <xf numFmtId="0" fontId="2" fillId="0" borderId="7" xfId="0" applyFont="1" applyBorder="1"/>
    <xf numFmtId="0" fontId="1" fillId="0" borderId="8" xfId="0" applyFont="1" applyBorder="1"/>
    <xf numFmtId="0" fontId="1" fillId="0" borderId="9" xfId="0" applyFont="1" applyBorder="1"/>
    <xf numFmtId="17" fontId="3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17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5" xfId="0" applyFont="1" applyBorder="1"/>
    <xf numFmtId="0" fontId="3" fillId="0" borderId="5" xfId="0" applyFont="1" applyBorder="1"/>
    <xf numFmtId="0" fontId="6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20" fontId="6" fillId="0" borderId="5" xfId="0" applyNumberFormat="1" applyFont="1" applyBorder="1" applyAlignment="1">
      <alignment horizontal="center"/>
    </xf>
    <xf numFmtId="17" fontId="1" fillId="0" borderId="0" xfId="0" applyNumberFormat="1" applyFont="1"/>
    <xf numFmtId="20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28575</xdr:rowOff>
    </xdr:from>
    <xdr:ext cx="1009650" cy="514350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9"/>
  <sheetViews>
    <sheetView tabSelected="1" topLeftCell="A31" workbookViewId="0">
      <selection activeCell="E11" sqref="E11:E13"/>
    </sheetView>
  </sheetViews>
  <sheetFormatPr baseColWidth="10" defaultColWidth="12.5703125" defaultRowHeight="15" customHeight="1" x14ac:dyDescent="0.2"/>
  <cols>
    <col min="1" max="1" width="10" customWidth="1"/>
    <col min="2" max="2" width="15.28515625" customWidth="1"/>
    <col min="3" max="3" width="17.7109375" customWidth="1"/>
    <col min="4" max="4" width="17.42578125" bestFit="1" customWidth="1"/>
    <col min="5" max="5" width="10.85546875" customWidth="1"/>
    <col min="6" max="6" width="8.7109375" customWidth="1"/>
    <col min="7" max="7" width="11.5703125" customWidth="1"/>
    <col min="8" max="26" width="10" customWidth="1"/>
  </cols>
  <sheetData>
    <row r="1" spans="1:26" ht="22.5" customHeight="1" x14ac:dyDescent="0.35">
      <c r="B1" s="31"/>
      <c r="C1" s="1" t="s">
        <v>0</v>
      </c>
      <c r="D1" s="2"/>
      <c r="E1" s="3"/>
      <c r="F1" s="4" t="s">
        <v>1</v>
      </c>
      <c r="G1" s="4">
        <v>2026</v>
      </c>
    </row>
    <row r="2" spans="1:26" ht="23.25" customHeight="1" x14ac:dyDescent="0.35">
      <c r="B2" s="32"/>
      <c r="C2" s="5" t="s">
        <v>2</v>
      </c>
      <c r="D2" s="6"/>
      <c r="E2" s="7"/>
      <c r="F2" s="8" t="s">
        <v>3</v>
      </c>
      <c r="G2" s="9" t="s">
        <v>25</v>
      </c>
    </row>
    <row r="3" spans="1:26" ht="12.75" customHeight="1" x14ac:dyDescent="0.35">
      <c r="B3" s="10"/>
      <c r="C3" s="11"/>
      <c r="D3" s="12"/>
      <c r="E3" s="12"/>
      <c r="F3" s="13"/>
      <c r="G3" s="14"/>
    </row>
    <row r="4" spans="1:26" ht="13.5" customHeight="1" x14ac:dyDescent="0.25">
      <c r="B4" s="15" t="s">
        <v>4</v>
      </c>
      <c r="C4" s="16" t="s">
        <v>5</v>
      </c>
    </row>
    <row r="5" spans="1:26" ht="15" customHeight="1" x14ac:dyDescent="0.25">
      <c r="B5" s="15" t="s">
        <v>6</v>
      </c>
      <c r="C5" s="16" t="s">
        <v>7</v>
      </c>
      <c r="D5" s="16"/>
    </row>
    <row r="6" spans="1:26" ht="25.5" customHeight="1" x14ac:dyDescent="0.25">
      <c r="B6" s="17" t="s">
        <v>8</v>
      </c>
      <c r="C6" s="18" t="s">
        <v>9</v>
      </c>
      <c r="D6" s="16"/>
    </row>
    <row r="7" spans="1:26" ht="6.75" customHeight="1" x14ac:dyDescent="0.25">
      <c r="B7" s="17"/>
      <c r="C7" s="18"/>
      <c r="D7" s="16"/>
    </row>
    <row r="8" spans="1:26" ht="15" customHeight="1" x14ac:dyDescent="0.25">
      <c r="B8" s="19" t="s">
        <v>10</v>
      </c>
      <c r="C8" s="20">
        <v>46302</v>
      </c>
      <c r="D8" s="21"/>
      <c r="E8" s="21"/>
    </row>
    <row r="9" spans="1:26" ht="15" customHeight="1" x14ac:dyDescent="0.25">
      <c r="A9" s="10"/>
      <c r="B9" s="22"/>
      <c r="C9" s="23" t="s">
        <v>11</v>
      </c>
      <c r="D9" s="24"/>
      <c r="E9" s="24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25">
      <c r="B10" s="26" t="s">
        <v>12</v>
      </c>
      <c r="C10" s="24" t="s">
        <v>13</v>
      </c>
      <c r="D10" s="25" t="s">
        <v>14</v>
      </c>
      <c r="E10" s="24" t="s">
        <v>15</v>
      </c>
    </row>
    <row r="11" spans="1:26" ht="15" customHeight="1" x14ac:dyDescent="0.25">
      <c r="B11" s="26">
        <v>0.5</v>
      </c>
      <c r="C11" s="25" t="s">
        <v>16</v>
      </c>
      <c r="D11" s="24" t="s">
        <v>17</v>
      </c>
      <c r="E11" s="24">
        <v>0</v>
      </c>
      <c r="G11" s="27"/>
    </row>
    <row r="12" spans="1:26" ht="15" customHeight="1" x14ac:dyDescent="0.25">
      <c r="B12" s="26">
        <v>0.52083333333333337</v>
      </c>
      <c r="C12" s="25" t="s">
        <v>26</v>
      </c>
      <c r="D12" s="24" t="s">
        <v>17</v>
      </c>
      <c r="E12" s="24">
        <f>2/40</f>
        <v>0.05</v>
      </c>
    </row>
    <row r="13" spans="1:26" ht="15" customHeight="1" x14ac:dyDescent="0.25">
      <c r="B13" s="26">
        <v>0.52152777777777781</v>
      </c>
      <c r="C13" s="25" t="s">
        <v>27</v>
      </c>
      <c r="D13" s="24" t="s">
        <v>17</v>
      </c>
      <c r="E13" s="24">
        <f>1/40</f>
        <v>2.5000000000000001E-2</v>
      </c>
      <c r="F13" s="27"/>
    </row>
    <row r="14" spans="1:26" ht="15" customHeight="1" x14ac:dyDescent="0.25">
      <c r="B14" s="28"/>
      <c r="C14" s="21"/>
      <c r="D14" s="21"/>
      <c r="E14" s="21"/>
    </row>
    <row r="15" spans="1:26" ht="16.5" customHeight="1" x14ac:dyDescent="0.25">
      <c r="B15" s="19" t="s">
        <v>10</v>
      </c>
      <c r="C15" s="20">
        <v>46274</v>
      </c>
      <c r="D15" s="21"/>
      <c r="E15" s="21"/>
    </row>
    <row r="16" spans="1:26" ht="15" customHeight="1" x14ac:dyDescent="0.25">
      <c r="B16" s="22"/>
      <c r="C16" s="23" t="s">
        <v>11</v>
      </c>
      <c r="D16" s="24"/>
      <c r="E16" s="24"/>
    </row>
    <row r="17" spans="1:26" ht="15" customHeight="1" x14ac:dyDescent="0.25">
      <c r="B17" s="26" t="s">
        <v>12</v>
      </c>
      <c r="C17" s="24" t="s">
        <v>13</v>
      </c>
      <c r="D17" s="25" t="s">
        <v>14</v>
      </c>
      <c r="E17" s="24" t="s">
        <v>18</v>
      </c>
      <c r="G17" s="27"/>
    </row>
    <row r="18" spans="1:26" ht="15.75" x14ac:dyDescent="0.25">
      <c r="B18" s="26">
        <v>0.42708333333333331</v>
      </c>
      <c r="C18" s="25" t="s">
        <v>16</v>
      </c>
      <c r="D18" s="24" t="s">
        <v>17</v>
      </c>
      <c r="E18" s="24">
        <v>0</v>
      </c>
      <c r="F18" s="27"/>
    </row>
    <row r="19" spans="1:26" ht="15" customHeight="1" x14ac:dyDescent="0.25">
      <c r="B19" s="26">
        <v>0.44791666666666669</v>
      </c>
      <c r="C19" s="25" t="s">
        <v>21</v>
      </c>
      <c r="D19" s="24" t="s">
        <v>17</v>
      </c>
      <c r="E19" s="24">
        <f>4/40</f>
        <v>0.1</v>
      </c>
      <c r="G19" s="27"/>
    </row>
    <row r="20" spans="1:26" ht="12.75" customHeight="1" x14ac:dyDescent="0.25">
      <c r="B20" s="26">
        <v>0.44930555555555557</v>
      </c>
      <c r="C20" s="25" t="s">
        <v>22</v>
      </c>
      <c r="D20" s="24" t="s">
        <v>17</v>
      </c>
      <c r="E20" s="24">
        <f>2/40</f>
        <v>0.05</v>
      </c>
    </row>
    <row r="21" spans="1:26" ht="15" customHeight="1" x14ac:dyDescent="0.25">
      <c r="B21" s="28"/>
      <c r="C21" s="21"/>
      <c r="D21" s="21"/>
      <c r="E21" s="21"/>
    </row>
    <row r="22" spans="1:26" ht="15.75" customHeight="1" x14ac:dyDescent="0.25">
      <c r="B22" s="19" t="s">
        <v>10</v>
      </c>
      <c r="C22" s="20">
        <v>46281</v>
      </c>
      <c r="D22" s="21"/>
      <c r="E22" s="21"/>
    </row>
    <row r="23" spans="1:26" ht="18" customHeight="1" x14ac:dyDescent="0.25">
      <c r="B23" s="22"/>
      <c r="C23" s="23" t="s">
        <v>11</v>
      </c>
      <c r="D23" s="24"/>
      <c r="E23" s="24"/>
    </row>
    <row r="24" spans="1:26" ht="18.75" customHeight="1" x14ac:dyDescent="0.25">
      <c r="B24" s="24" t="s">
        <v>12</v>
      </c>
      <c r="C24" s="24" t="s">
        <v>13</v>
      </c>
      <c r="D24" s="25" t="s">
        <v>14</v>
      </c>
      <c r="E24" s="24" t="s">
        <v>19</v>
      </c>
    </row>
    <row r="25" spans="1:26" ht="12.75" customHeight="1" x14ac:dyDescent="0.25">
      <c r="B25" s="26">
        <v>0.38541666666666669</v>
      </c>
      <c r="C25" s="25" t="s">
        <v>16</v>
      </c>
      <c r="D25" s="24" t="s">
        <v>17</v>
      </c>
      <c r="E25" s="24">
        <v>0</v>
      </c>
    </row>
    <row r="26" spans="1:26" ht="12" customHeight="1" x14ac:dyDescent="0.25">
      <c r="B26" s="26">
        <v>0.40625</v>
      </c>
      <c r="C26" s="25" t="s">
        <v>23</v>
      </c>
      <c r="D26" s="24" t="s">
        <v>17</v>
      </c>
      <c r="E26" s="24">
        <f>5/40</f>
        <v>0.125</v>
      </c>
    </row>
    <row r="27" spans="1:26" ht="12.75" customHeight="1" x14ac:dyDescent="0.25">
      <c r="B27" s="26">
        <v>0.40694444444444444</v>
      </c>
      <c r="C27" s="25" t="s">
        <v>24</v>
      </c>
      <c r="D27" s="24" t="s">
        <v>17</v>
      </c>
      <c r="E27" s="24">
        <f>1/40</f>
        <v>2.5000000000000001E-2</v>
      </c>
    </row>
    <row r="28" spans="1:26" ht="11.25" customHeight="1" x14ac:dyDescent="0.25">
      <c r="B28" s="28"/>
      <c r="C28" s="29"/>
      <c r="D28" s="21"/>
      <c r="E28" s="21"/>
    </row>
    <row r="29" spans="1:26" ht="13.5" customHeight="1" x14ac:dyDescent="0.25">
      <c r="A29" s="12"/>
      <c r="B29" s="19" t="s">
        <v>10</v>
      </c>
      <c r="C29" s="20">
        <v>46288</v>
      </c>
      <c r="D29" s="21"/>
      <c r="E29" s="21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" customHeight="1" x14ac:dyDescent="0.25">
      <c r="A30" s="12"/>
      <c r="B30" s="22"/>
      <c r="C30" s="23" t="s">
        <v>11</v>
      </c>
      <c r="D30" s="24"/>
      <c r="E30" s="24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" customHeight="1" x14ac:dyDescent="0.25">
      <c r="A31" s="12"/>
      <c r="B31" s="24" t="s">
        <v>12</v>
      </c>
      <c r="C31" s="24" t="s">
        <v>13</v>
      </c>
      <c r="D31" s="25" t="s">
        <v>14</v>
      </c>
      <c r="E31" s="24" t="s">
        <v>15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4.25" customHeight="1" x14ac:dyDescent="0.25">
      <c r="A32" s="12"/>
      <c r="B32" s="26">
        <v>0.46875</v>
      </c>
      <c r="C32" s="25" t="s">
        <v>16</v>
      </c>
      <c r="D32" s="24" t="s">
        <v>17</v>
      </c>
      <c r="E32" s="24">
        <v>0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2:6" ht="14.25" customHeight="1" x14ac:dyDescent="0.25">
      <c r="B33" s="26">
        <v>0.48958333333333331</v>
      </c>
      <c r="C33" s="25" t="s">
        <v>21</v>
      </c>
      <c r="D33" s="24" t="s">
        <v>17</v>
      </c>
      <c r="E33" s="24">
        <f>7/40</f>
        <v>0.17499999999999999</v>
      </c>
    </row>
    <row r="34" spans="2:6" ht="15.75" customHeight="1" x14ac:dyDescent="0.25">
      <c r="B34" s="26">
        <v>0.4909722222222222</v>
      </c>
      <c r="C34" s="25" t="s">
        <v>22</v>
      </c>
      <c r="D34" s="24" t="s">
        <v>17</v>
      </c>
      <c r="E34" s="24">
        <f>2/40</f>
        <v>0.05</v>
      </c>
    </row>
    <row r="35" spans="2:6" ht="15.75" customHeight="1" x14ac:dyDescent="0.25">
      <c r="B35" s="28"/>
      <c r="C35" s="29"/>
      <c r="D35" s="21"/>
      <c r="E35" s="21"/>
    </row>
    <row r="36" spans="2:6" ht="15.75" customHeight="1" x14ac:dyDescent="0.25">
      <c r="B36" s="19" t="s">
        <v>10</v>
      </c>
      <c r="C36" s="20">
        <v>46295</v>
      </c>
      <c r="D36" s="21"/>
      <c r="E36" s="21"/>
    </row>
    <row r="37" spans="2:6" ht="15.75" customHeight="1" x14ac:dyDescent="0.25">
      <c r="B37" s="22"/>
      <c r="C37" s="23" t="s">
        <v>11</v>
      </c>
      <c r="D37" s="24"/>
      <c r="E37" s="24"/>
    </row>
    <row r="38" spans="2:6" ht="15.75" customHeight="1" x14ac:dyDescent="0.25">
      <c r="B38" s="24" t="s">
        <v>12</v>
      </c>
      <c r="C38" s="24" t="s">
        <v>13</v>
      </c>
      <c r="D38" s="25" t="s">
        <v>14</v>
      </c>
      <c r="E38" s="24" t="s">
        <v>15</v>
      </c>
    </row>
    <row r="39" spans="2:6" ht="15.75" customHeight="1" x14ac:dyDescent="0.25">
      <c r="B39" s="26">
        <v>0.45833333333333331</v>
      </c>
      <c r="C39" s="25" t="s">
        <v>16</v>
      </c>
      <c r="D39" s="24" t="s">
        <v>17</v>
      </c>
      <c r="E39" s="24">
        <f>5/40</f>
        <v>0.125</v>
      </c>
    </row>
    <row r="40" spans="2:6" ht="15.75" customHeight="1" x14ac:dyDescent="0.25">
      <c r="B40" s="26">
        <v>0.45902777777777776</v>
      </c>
      <c r="C40" s="25" t="s">
        <v>23</v>
      </c>
      <c r="D40" s="24" t="s">
        <v>17</v>
      </c>
      <c r="E40" s="24">
        <f>4/40</f>
        <v>0.1</v>
      </c>
    </row>
    <row r="41" spans="2:6" ht="15.75" customHeight="1" x14ac:dyDescent="0.25">
      <c r="B41" s="26">
        <v>0.46041666666666664</v>
      </c>
      <c r="C41" s="25" t="s">
        <v>24</v>
      </c>
      <c r="D41" s="24" t="s">
        <v>17</v>
      </c>
      <c r="E41" s="24">
        <f>5/40</f>
        <v>0.125</v>
      </c>
    </row>
    <row r="42" spans="2:6" ht="15.75" customHeight="1" x14ac:dyDescent="0.25">
      <c r="B42" s="28"/>
      <c r="C42" s="29"/>
      <c r="D42" s="21"/>
      <c r="E42" s="21"/>
    </row>
    <row r="43" spans="2:6" ht="15.75" customHeight="1" x14ac:dyDescent="0.25">
      <c r="B43" s="28"/>
      <c r="C43" s="29"/>
      <c r="D43" s="21"/>
      <c r="E43" s="21"/>
    </row>
    <row r="44" spans="2:6" ht="15.75" customHeight="1" x14ac:dyDescent="0.25">
      <c r="D44" s="19" t="s">
        <v>20</v>
      </c>
      <c r="E44" s="30"/>
      <c r="F44" s="30"/>
    </row>
    <row r="45" spans="2:6" ht="15.75" customHeight="1" x14ac:dyDescent="0.25">
      <c r="D45" s="19"/>
      <c r="E45" s="12"/>
      <c r="F45" s="12"/>
    </row>
    <row r="46" spans="2:6" ht="15.75" customHeight="1" x14ac:dyDescent="0.25">
      <c r="D46" s="19"/>
      <c r="E46" s="12"/>
      <c r="F46" s="12"/>
    </row>
    <row r="47" spans="2:6" ht="12.75" customHeight="1" x14ac:dyDescent="0.2"/>
    <row r="48" spans="2:6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</sheetData>
  <mergeCells count="1">
    <mergeCell ref="B1:B2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Ambiente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guillermob</dc:creator>
  <cp:lastModifiedBy>Afip Pc</cp:lastModifiedBy>
  <cp:lastPrinted>2026-10-03T08:04:34Z</cp:lastPrinted>
  <dcterms:created xsi:type="dcterms:W3CDTF">2010-05-11T19:33:50Z</dcterms:created>
  <dcterms:modified xsi:type="dcterms:W3CDTF">2026-10-09T10:46:50Z</dcterms:modified>
</cp:coreProperties>
</file>
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Resumen Final" sheetId="1" r:id="rId1"/>
  </sheets>
  <calcPr calcId="181029"/>
  <extLst>
    <ext uri="GoogleSheetsCustomDataVersion2">
      <go:sheetsCustomData xmlns:go="http://customooxmlschemas.google.com/" r:id="rId6" roundtripDataChecksum="KweZiyyIttFu+k6g8mAVvc3MeM/CnVBLSWQAMKnnEN8="/>
    </ext>
  </extLst>
</workbook>
</file>

<file path=xl/calcChain.xml><?xml version="1.0" encoding="utf-8"?>
<calcChain xmlns="http://schemas.openxmlformats.org/spreadsheetml/2006/main">
  <c r="F20" i="1" l="1"/>
  <c r="E20" i="1"/>
  <c r="D20" i="1"/>
  <c r="C20" i="1"/>
  <c r="H20" i="1"/>
  <c r="G20" i="1"/>
</calcChain>
</file>

<file path=xl/sharedStrings.xml><?xml version="1.0" encoding="utf-8"?>
<sst xmlns="http://schemas.openxmlformats.org/spreadsheetml/2006/main" count="20" uniqueCount="20">
  <si>
    <t>Control Estadístico Semanal</t>
  </si>
  <si>
    <t xml:space="preserve">FECHA: </t>
  </si>
  <si>
    <t>Encintados</t>
  </si>
  <si>
    <t>Bolsa Menudos</t>
  </si>
  <si>
    <t>Sin Menudos</t>
  </si>
  <si>
    <t>Rotura Piel</t>
  </si>
  <si>
    <t>Hematomas</t>
  </si>
  <si>
    <t xml:space="preserve">Buche </t>
  </si>
  <si>
    <t>Hiel</t>
  </si>
  <si>
    <t>cloaca</t>
  </si>
  <si>
    <t>Fracturas</t>
  </si>
  <si>
    <t>Falta Higado</t>
  </si>
  <si>
    <t>Falta Panzas</t>
  </si>
  <si>
    <t>Falta Cogotes</t>
  </si>
  <si>
    <t>Grasa</t>
  </si>
  <si>
    <t>Peso Caja</t>
  </si>
  <si>
    <t>Cantidad Pollos</t>
  </si>
  <si>
    <t>Restos de Plumas</t>
  </si>
  <si>
    <t>,</t>
  </si>
  <si>
    <t>Desde 05/10/2026 al 09/10/2026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</si>
</sst>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14" fontId="4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r>
              <a:rPr lang="es-AR" sz="900" b="0" i="0">
                <a:solidFill>
                  <a:srgbClr val="000000"/>
                </a:solidFill>
                <a:latin typeface="Arial"/>
              </a:rPr>
              <a:t>Sin Menudos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Sin Menudos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'Resumen Final'!$D$4:$J$4</c:f>
              <c:numCache>
                <c:formatCode>General</c:formatCode>
                <c:ptCount val="7"/>
              </c:numCache>
            </c:numRef>
          </c:cat>
          <c:val>
            <c:numRef>
              <c:f>'Resumen Final'!$D$7:$H$7</c:f>
              <c:numCache>
                <c:formatCode>General</c:formatCode>
                <c:ptCount val="5"/>
                <c:pt idx="0">
                  <c:v>0</c:v>
                </c:pt>
                <c:pt idx="1">
                  <c:v>1.92</c:v>
                </c:pt>
                <c:pt idx="2">
                  <c:v>0</c:v>
                </c:pt>
                <c:pt idx="3">
                  <c:v>1.85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E27-4A2B-B554-EA439B955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46784"/>
        <c:axId val="140509760"/>
      </c:lineChart>
      <c:catAx>
        <c:axId val="208246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layout/>
          <c:overlay val="0"/>
        </c:title>
        <c:numFmt formatCode="dd/mm/yyyy" sourceLinked="0"/>
        <c:majorTickMark val="none"/>
        <c:minorTickMark val="none"/>
        <c:tickLblPos val="nextTo"/>
        <c:txPr>
          <a:bodyPr rot="-540000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509760"/>
        <c:crosses val="autoZero"/>
        <c:auto val="1"/>
        <c:lblAlgn val="ctr"/>
        <c:lblOffset val="100"/>
        <c:noMultiLvlLbl val="1"/>
      </c:catAx>
      <c:valAx>
        <c:axId val="140509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8246784"/>
        <c:crosses val="autoZero"/>
        <c:crossBetween val="between"/>
      </c:valAx>
      <c:spPr>
        <a:solidFill>
          <a:srgbClr val="C0C0C0"/>
        </a:solidFill>
      </c:spPr>
    </c:plotArea>
    <c:legend>
      <c:legendPos val="b"/>
      <c:layout/>
      <c:overlay val="0"/>
      <c:txPr>
        <a:bodyPr/>
        <a:lstStyle/>
        <a:p>
          <a:pPr lvl="0">
            <a:defRPr sz="8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r>
              <a:rPr lang="es-AR" sz="800" b="0" i="0">
                <a:solidFill>
                  <a:srgbClr val="000000"/>
                </a:solidFill>
                <a:latin typeface="Arial"/>
              </a:rPr>
              <a:t>Rotura Piel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Rotura Piel</c:v>
          </c:tx>
          <c:spPr>
            <a:ln w="9525" cmpd="sng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'Resumen Final'!$D$4:$J$4</c:f>
              <c:numCache>
                <c:formatCode>General</c:formatCode>
                <c:ptCount val="7"/>
              </c:numCache>
            </c:numRef>
          </c:cat>
          <c:val>
            <c:numRef>
              <c:f>'Resumen Final'!$D$8:$H$8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1D-485E-9E20-E8749ED44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03104"/>
        <c:axId val="140511488"/>
      </c:lineChart>
      <c:catAx>
        <c:axId val="14110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layout/>
          <c:overlay val="0"/>
        </c:title>
        <c:numFmt formatCode="dd/mm/yyyy" sourceLinked="0"/>
        <c:majorTickMark val="none"/>
        <c:minorTickMark val="none"/>
        <c:tickLblPos val="nextTo"/>
        <c:txPr>
          <a:bodyPr rot="5400000"/>
          <a:lstStyle/>
          <a:p>
            <a:pPr lvl="0">
              <a:defRPr sz="7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0511488"/>
        <c:crosses val="autoZero"/>
        <c:auto val="1"/>
        <c:lblAlgn val="ctr"/>
        <c:lblOffset val="100"/>
        <c:noMultiLvlLbl val="1"/>
      </c:catAx>
      <c:valAx>
        <c:axId val="140511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103104"/>
        <c:crosses val="autoZero"/>
        <c:crossBetween val="between"/>
      </c:valAx>
      <c:spPr>
        <a:solidFill>
          <a:srgbClr val="C0C0C0"/>
        </a:solidFill>
      </c:spPr>
    </c:plotArea>
    <c:legend>
      <c:legendPos val="b"/>
      <c:layout/>
      <c:overlay val="0"/>
      <c:txPr>
        <a:bodyPr/>
        <a:lstStyle/>
        <a:p>
          <a:pPr lvl="0">
            <a:defRPr sz="8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r>
              <a:rPr lang="es-AR" sz="900" b="0" i="0">
                <a:solidFill>
                  <a:srgbClr val="000000"/>
                </a:solidFill>
                <a:latin typeface="Arial"/>
              </a:rPr>
              <a:t>Hematomas</a:t>
            </a:r>
          </a:p>
        </c:rich>
      </c:tx>
      <c:layout>
        <c:manualLayout>
          <c:xMode val="edge"/>
          <c:yMode val="edge"/>
          <c:x val="0.42197789057689788"/>
          <c:y val="4.1841004184100396E-2"/>
        </c:manualLayout>
      </c:layout>
      <c:overlay val="0"/>
    </c:title>
    <c:autoTitleDeleted val="0"/>
    <c:plotArea>
      <c:layout>
        <c:manualLayout>
          <c:xMode val="edge"/>
          <c:yMode val="edge"/>
          <c:x val="0.14065934065934071"/>
          <c:y val="0.23849372384938144"/>
          <c:w val="0.48791208791212565"/>
          <c:h val="0.48117154811715485"/>
        </c:manualLayout>
      </c:layout>
      <c:lineChart>
        <c:grouping val="standard"/>
        <c:varyColors val="0"/>
        <c:ser>
          <c:idx val="0"/>
          <c:order val="0"/>
          <c:tx>
            <c:v>Hematomas</c:v>
          </c:tx>
          <c:spPr>
            <a:ln w="9525" cmpd="sng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trendline>
            <c:name>Linear (Hematomas)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'Resumen Final'!$D$4:$K$4</c:f>
              <c:numCache>
                <c:formatCode>General</c:formatCode>
                <c:ptCount val="8"/>
              </c:numCache>
            </c:numRef>
          </c:cat>
          <c:val>
            <c:numRef>
              <c:f>'Resumen Final'!$D$9:$I$9</c:f>
              <c:numCache>
                <c:formatCode>General</c:formatCode>
                <c:ptCount val="6"/>
                <c:pt idx="0">
                  <c:v>9.6199999999999992</c:v>
                </c:pt>
                <c:pt idx="1">
                  <c:v>5.77</c:v>
                </c:pt>
                <c:pt idx="2">
                  <c:v>20</c:v>
                </c:pt>
                <c:pt idx="3">
                  <c:v>5.55</c:v>
                </c:pt>
                <c:pt idx="4">
                  <c:v>6.9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E84-4C57-B23B-9C7E7A6B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04128"/>
        <c:axId val="140513216"/>
      </c:lineChart>
      <c:catAx>
        <c:axId val="14110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sz="900" b="1" i="0">
                    <a:solidFill>
                      <a:srgbClr val="000000"/>
                    </a:solidFill>
                    <a:latin typeface="Arial"/>
                  </a:rPr>
                  <a:t>Tomas</a:t>
                </a:r>
              </a:p>
            </c:rich>
          </c:tx>
          <c:layout>
            <c:manualLayout>
              <c:xMode val="edge"/>
              <c:yMode val="edge"/>
              <c:x val="1.4100347651482556E-2"/>
              <c:y val="0.78244331223302965"/>
            </c:manualLayout>
          </c:layout>
          <c:overlay val="0"/>
        </c:title>
        <c:numFmt formatCode="dd/mm/yy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513216"/>
        <c:crosses val="autoZero"/>
        <c:auto val="1"/>
        <c:lblAlgn val="ctr"/>
        <c:lblOffset val="100"/>
        <c:noMultiLvlLbl val="1"/>
      </c:catAx>
      <c:valAx>
        <c:axId val="140513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sz="900" b="1" i="0">
                    <a:solidFill>
                      <a:srgbClr val="000000"/>
                    </a:solidFill>
                    <a:latin typeface="Arial"/>
                  </a:rPr>
                  <a:t>Cantidad %</a:t>
                </a:r>
              </a:p>
            </c:rich>
          </c:tx>
          <c:layout>
            <c:manualLayout>
              <c:xMode val="edge"/>
              <c:yMode val="edge"/>
              <c:x val="3.516462492302358E-2"/>
              <c:y val="0.338912133891247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104128"/>
        <c:crosses val="autoZero"/>
        <c:crossBetween val="between"/>
      </c:valAx>
      <c:spPr>
        <a:solidFill>
          <a:srgbClr val="C0C0C0"/>
        </a:solidFill>
      </c:spPr>
    </c:plotArea>
    <c:legend>
      <c:legendPos val="r"/>
      <c:layout>
        <c:manualLayout>
          <c:xMode val="edge"/>
          <c:yMode val="edge"/>
          <c:x val="0.65274741568474914"/>
          <c:y val="0.39330543933058193"/>
        </c:manualLayout>
      </c:layout>
      <c:overlay val="0"/>
      <c:txPr>
        <a:bodyPr/>
        <a:lstStyle/>
        <a:p>
          <a:pPr lvl="0">
            <a:defRPr sz="8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r>
              <a:rPr lang="es-AR" sz="800" b="0" i="0">
                <a:solidFill>
                  <a:srgbClr val="000000"/>
                </a:solidFill>
                <a:latin typeface="Arial"/>
              </a:rPr>
              <a:t>Restos Visceras</a:t>
            </a:r>
          </a:p>
        </c:rich>
      </c:tx>
      <c:layout>
        <c:manualLayout>
          <c:xMode val="edge"/>
          <c:yMode val="edge"/>
          <c:x val="0.39018691724311938"/>
          <c:y val="4.2372881355938009E-2"/>
        </c:manualLayout>
      </c:layout>
      <c:overlay val="0"/>
    </c:title>
    <c:autoTitleDeleted val="0"/>
    <c:plotArea>
      <c:layout>
        <c:manualLayout>
          <c:xMode val="edge"/>
          <c:yMode val="edge"/>
          <c:x val="0.13317757009344597"/>
          <c:y val="0.24152542372881355"/>
          <c:w val="0.52570093457946065"/>
          <c:h val="0.47457627118648166"/>
        </c:manualLayout>
      </c:layout>
      <c:lineChart>
        <c:grouping val="standard"/>
        <c:varyColors val="1"/>
        <c:ser>
          <c:idx val="0"/>
          <c:order val="0"/>
          <c:tx>
            <c:v>cloaca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'Resumen Final'!$D$4:$K$4</c:f>
              <c:numCache>
                <c:formatCode>General</c:formatCode>
                <c:ptCount val="8"/>
              </c:numCache>
            </c:numRef>
          </c:cat>
          <c:val>
            <c:numRef>
              <c:f>'Resumen Final'!$D$12:$I$12</c:f>
              <c:numCache>
                <c:formatCode>General</c:formatCode>
                <c:ptCount val="6"/>
                <c:pt idx="0">
                  <c:v>0</c:v>
                </c:pt>
                <c:pt idx="1">
                  <c:v>1.92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AB5-4FDF-B610-2F8E182A4972}"/>
            </c:ext>
          </c:extLst>
        </c:ser>
        <c:ser>
          <c:idx val="1"/>
          <c:order val="1"/>
          <c:tx>
            <c:v>Hiel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'Resumen Final'!$D$4:$K$4</c:f>
              <c:numCache>
                <c:formatCode>General</c:formatCode>
                <c:ptCount val="8"/>
              </c:numCache>
            </c:numRef>
          </c:cat>
          <c:val>
            <c:numRef>
              <c:f>'Resumen Final'!$D$11:$I$11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AB5-4FDF-B610-2F8E182A4972}"/>
            </c:ext>
          </c:extLst>
        </c:ser>
        <c:ser>
          <c:idx val="2"/>
          <c:order val="2"/>
          <c:tx>
            <c:v>Buche 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numRef>
              <c:f>'Resumen Final'!$D$4:$K$4</c:f>
              <c:numCache>
                <c:formatCode>General</c:formatCode>
                <c:ptCount val="8"/>
              </c:numCache>
            </c:numRef>
          </c:cat>
          <c:val>
            <c:numRef>
              <c:f>'Resumen Final'!$D$10:$I$10</c:f>
              <c:numCache>
                <c:formatCode>General</c:formatCode>
                <c:ptCount val="6"/>
                <c:pt idx="0">
                  <c:v>7.69</c:v>
                </c:pt>
                <c:pt idx="1">
                  <c:v>3.85</c:v>
                </c:pt>
                <c:pt idx="2">
                  <c:v>8</c:v>
                </c:pt>
                <c:pt idx="3">
                  <c:v>3.7</c:v>
                </c:pt>
                <c:pt idx="4">
                  <c:v>3.45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AB5-4FDF-B610-2F8E182A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04640"/>
        <c:axId val="140514944"/>
      </c:lineChart>
      <c:catAx>
        <c:axId val="14110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sz="800" b="1" i="0">
                    <a:solidFill>
                      <a:srgbClr val="000000"/>
                    </a:solidFill>
                    <a:latin typeface="Arial"/>
                  </a:rPr>
                  <a:t>Tomas</a:t>
                </a:r>
              </a:p>
            </c:rich>
          </c:tx>
          <c:layout>
            <c:manualLayout>
              <c:xMode val="edge"/>
              <c:yMode val="edge"/>
              <c:x val="1.6997886970332221E-2"/>
              <c:y val="0.79560138316043827"/>
            </c:manualLayout>
          </c:layout>
          <c:overlay val="0"/>
        </c:title>
        <c:numFmt formatCode="dd/mm/yy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514944"/>
        <c:crosses val="autoZero"/>
        <c:auto val="1"/>
        <c:lblAlgn val="ctr"/>
        <c:lblOffset val="100"/>
        <c:noMultiLvlLbl val="1"/>
      </c:catAx>
      <c:valAx>
        <c:axId val="140514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sz="800" b="1" i="0">
                    <a:solidFill>
                      <a:srgbClr val="000000"/>
                    </a:solidFill>
                    <a:latin typeface="Arial"/>
                  </a:rPr>
                  <a:t>Cantidad %</a:t>
                </a:r>
              </a:p>
            </c:rich>
          </c:tx>
          <c:layout>
            <c:manualLayout>
              <c:xMode val="edge"/>
              <c:yMode val="edge"/>
              <c:x val="3.7383158596888094E-2"/>
              <c:y val="0.3389830508474907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104640"/>
        <c:crosses val="autoZero"/>
        <c:crossBetween val="between"/>
      </c:valAx>
      <c:spPr>
        <a:solidFill>
          <a:srgbClr val="C0C0C0"/>
        </a:solidFill>
      </c:spPr>
    </c:plotArea>
    <c:legend>
      <c:legendPos val="r"/>
      <c:layout>
        <c:manualLayout>
          <c:xMode val="edge"/>
          <c:yMode val="edge"/>
          <c:x val="0.6845793999506965"/>
          <c:y val="0.3305084745762949"/>
        </c:manualLayout>
      </c:layout>
      <c:overlay val="0"/>
      <c:txPr>
        <a:bodyPr/>
        <a:lstStyle/>
        <a:p>
          <a:pPr lvl="0">
            <a:defRPr sz="8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r>
              <a:rPr lang="es-AR" sz="800" b="0" i="0">
                <a:solidFill>
                  <a:srgbClr val="000000"/>
                </a:solidFill>
                <a:latin typeface="Arial"/>
              </a:rPr>
              <a:t>Restos Plumas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012522071104748"/>
          <c:y val="0.41558382125311266"/>
          <c:w val="0.48426208542114052"/>
          <c:h val="0.30459654081701326"/>
        </c:manualLayout>
      </c:layout>
      <c:lineChart>
        <c:grouping val="standard"/>
        <c:varyColors val="0"/>
        <c:ser>
          <c:idx val="0"/>
          <c:order val="0"/>
          <c:tx>
            <c:v>Restos Plumas</c:v>
          </c:tx>
          <c:spPr>
            <a:ln w="9525" cmpd="sng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'Resumen Final'!$D$4:$K$4</c:f>
              <c:numCache>
                <c:formatCode>General</c:formatCode>
                <c:ptCount val="8"/>
              </c:numCache>
            </c:numRef>
          </c:cat>
          <c:val>
            <c:numRef>
              <c:f>'Resumen Final'!$D$14:$H$14</c:f>
              <c:numCache>
                <c:formatCode>General</c:formatCode>
                <c:ptCount val="5"/>
                <c:pt idx="0">
                  <c:v>1.92</c:v>
                </c:pt>
                <c:pt idx="1">
                  <c:v>0</c:v>
                </c:pt>
                <c:pt idx="2">
                  <c:v>2</c:v>
                </c:pt>
                <c:pt idx="3">
                  <c:v>3.7</c:v>
                </c:pt>
                <c:pt idx="4">
                  <c:v>1.72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E5C-4EA8-BDED-88B751708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06176"/>
        <c:axId val="141508608"/>
      </c:lineChart>
      <c:catAx>
        <c:axId val="141106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layout/>
          <c:overlay val="0"/>
        </c:title>
        <c:numFmt formatCode="dd/mm/yyyy" sourceLinked="0"/>
        <c:majorTickMark val="none"/>
        <c:minorTickMark val="none"/>
        <c:tickLblPos val="nextTo"/>
        <c:txPr>
          <a:bodyPr rot="5400000"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508608"/>
        <c:crosses val="autoZero"/>
        <c:auto val="1"/>
        <c:lblAlgn val="ctr"/>
        <c:lblOffset val="100"/>
        <c:noMultiLvlLbl val="1"/>
      </c:catAx>
      <c:valAx>
        <c:axId val="141508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sz="800" b="1" i="0">
                    <a:solidFill>
                      <a:srgbClr val="000000"/>
                    </a:solidFill>
                    <a:latin typeface="Arial"/>
                  </a:rPr>
                  <a:t>Cantidad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106176"/>
        <c:crosses val="autoZero"/>
        <c:crossBetween val="between"/>
      </c:valAx>
      <c:spPr>
        <a:solidFill>
          <a:srgbClr val="C0C0C0"/>
        </a:solidFill>
      </c:spPr>
    </c:plotArea>
    <c:legend>
      <c:legendPos val="r"/>
      <c:layout/>
      <c:overlay val="0"/>
      <c:txPr>
        <a:bodyPr/>
        <a:lstStyle/>
        <a:p>
          <a:pPr lvl="0">
            <a:defRPr sz="7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r>
              <a:rPr lang="es-AR" sz="900" b="0" i="0">
                <a:solidFill>
                  <a:srgbClr val="000000"/>
                </a:solidFill>
                <a:latin typeface="Arial"/>
              </a:rPr>
              <a:t>Menudos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Falta Higado</c:v>
          </c:tx>
          <c:spPr>
            <a:ln w="9525" cmpd="sng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'Resumen Final'!$D$4:$K$4</c:f>
              <c:numCache>
                <c:formatCode>General</c:formatCode>
                <c:ptCount val="8"/>
              </c:numCache>
            </c:numRef>
          </c:cat>
          <c:val>
            <c:numRef>
              <c:f>'Resumen Final'!$D$15:$I$15</c:f>
              <c:numCache>
                <c:formatCode>General</c:formatCode>
                <c:ptCount val="6"/>
                <c:pt idx="0">
                  <c:v>1.92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099-45C3-B652-58E19411B5C2}"/>
            </c:ext>
          </c:extLst>
        </c:ser>
        <c:ser>
          <c:idx val="1"/>
          <c:order val="1"/>
          <c:tx>
            <c:v>Falta Panzas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'Resumen Final'!$D$4:$K$4</c:f>
              <c:numCache>
                <c:formatCode>General</c:formatCode>
                <c:ptCount val="8"/>
              </c:numCache>
            </c:numRef>
          </c:cat>
          <c:val>
            <c:numRef>
              <c:f>'Resumen Final'!$D$16:$H$16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3.7</c:v>
                </c:pt>
                <c:pt idx="4">
                  <c:v>5.17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099-45C3-B652-58E19411B5C2}"/>
            </c:ext>
          </c:extLst>
        </c:ser>
        <c:ser>
          <c:idx val="2"/>
          <c:order val="2"/>
          <c:tx>
            <c:v>Falta Cogotes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numRef>
              <c:f>'Resumen Final'!$D$4:$K$4</c:f>
              <c:numCache>
                <c:formatCode>General</c:formatCode>
                <c:ptCount val="8"/>
              </c:numCache>
            </c:numRef>
          </c:cat>
          <c:val>
            <c:numRef>
              <c:f>'Resumen Final'!$D$17:$H$17</c:f>
              <c:numCache>
                <c:formatCode>General</c:formatCode>
                <c:ptCount val="5"/>
                <c:pt idx="0">
                  <c:v>5.77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099-45C3-B652-58E19411B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06688"/>
        <c:axId val="141510336"/>
      </c:lineChart>
      <c:catAx>
        <c:axId val="141106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layout/>
          <c:overlay val="0"/>
        </c:title>
        <c:numFmt formatCode="dd/mm/yyyy" sourceLinked="0"/>
        <c:majorTickMark val="none"/>
        <c:minorTickMark val="none"/>
        <c:tickLblPos val="nextTo"/>
        <c:txPr>
          <a:bodyPr rot="5400000"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510336"/>
        <c:crosses val="autoZero"/>
        <c:auto val="1"/>
        <c:lblAlgn val="ctr"/>
        <c:lblOffset val="100"/>
        <c:noMultiLvlLbl val="1"/>
      </c:catAx>
      <c:valAx>
        <c:axId val="141510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sz="900" b="1" i="0">
                    <a:solidFill>
                      <a:srgbClr val="000000"/>
                    </a:solidFill>
                    <a:latin typeface="Arial"/>
                  </a:rPr>
                  <a:t>Cantidad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106688"/>
        <c:crosses val="autoZero"/>
        <c:crossBetween val="between"/>
      </c:valAx>
      <c:spPr>
        <a:solidFill>
          <a:srgbClr val="C0C0C0"/>
        </a:solidFill>
      </c:spPr>
    </c:plotArea>
    <c:legend>
      <c:legendPos val="r"/>
      <c:layout/>
      <c:overlay val="0"/>
      <c:txPr>
        <a:bodyPr/>
        <a:lstStyle/>
        <a:p>
          <a:pPr lvl="0">
            <a:defRPr sz="8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r>
              <a:rPr lang="es-AR" sz="800" b="0" i="0">
                <a:solidFill>
                  <a:srgbClr val="000000"/>
                </a:solidFill>
                <a:latin typeface="Arial"/>
              </a:rPr>
              <a:t>Grasa</a:t>
            </a:r>
          </a:p>
        </c:rich>
      </c:tx>
      <c:layout>
        <c:manualLayout>
          <c:xMode val="edge"/>
          <c:yMode val="edge"/>
          <c:x val="0.47071604938271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679297495220506"/>
          <c:y val="0.37421794497909994"/>
          <c:w val="0.63295162178801723"/>
          <c:h val="0.49776416836784293"/>
        </c:manualLayout>
      </c:layout>
      <c:lineChart>
        <c:grouping val="standard"/>
        <c:varyColors val="0"/>
        <c:ser>
          <c:idx val="0"/>
          <c:order val="0"/>
          <c:tx>
            <c:v>Grasa</c:v>
          </c:tx>
          <c:spPr>
            <a:ln w="9525" cmpd="sng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'Resumen Final'!$D$4:$K$4</c:f>
              <c:numCache>
                <c:formatCode>General</c:formatCode>
                <c:ptCount val="8"/>
              </c:numCache>
            </c:numRef>
          </c:cat>
          <c:val>
            <c:numRef>
              <c:f>'Resumen Final'!$D$18:$I$18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1B1-4E42-A552-1F93A37AD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82176"/>
        <c:axId val="141512640"/>
      </c:lineChart>
      <c:catAx>
        <c:axId val="14168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layout/>
          <c:overlay val="0"/>
        </c:title>
        <c:numFmt formatCode="dd/mm/yyyy" sourceLinked="0"/>
        <c:majorTickMark val="none"/>
        <c:minorTickMark val="none"/>
        <c:tickLblPos val="nextTo"/>
        <c:txPr>
          <a:bodyPr rot="5400000"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512640"/>
        <c:crosses val="autoZero"/>
        <c:auto val="1"/>
        <c:lblAlgn val="ctr"/>
        <c:lblOffset val="100"/>
        <c:noMultiLvlLbl val="1"/>
      </c:catAx>
      <c:valAx>
        <c:axId val="141512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sz="800" b="1" i="0">
                    <a:solidFill>
                      <a:srgbClr val="000000"/>
                    </a:solidFill>
                    <a:latin typeface="Arial"/>
                  </a:rPr>
                  <a:t>Cantidad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682176"/>
        <c:crosses val="autoZero"/>
        <c:crossBetween val="between"/>
      </c:valAx>
      <c:spPr>
        <a:solidFill>
          <a:srgbClr val="C0C0C0"/>
        </a:solidFill>
      </c:spPr>
    </c:plotArea>
    <c:legend>
      <c:legendPos val="r"/>
      <c:layout/>
      <c:overlay val="0"/>
      <c:txPr>
        <a:bodyPr/>
        <a:lstStyle/>
        <a:p>
          <a:pPr lvl="0">
            <a:defRPr sz="8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r>
              <a:rPr lang="es-AR" sz="800" b="0" i="0">
                <a:solidFill>
                  <a:srgbClr val="000000"/>
                </a:solidFill>
                <a:latin typeface="Arial"/>
              </a:rPr>
              <a:t>Peso Caja 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Peso Caja</c:v>
          </c:tx>
          <c:spPr>
            <a:ln w="9525" cmpd="sng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'Resumen Final'!$D$4:$K$4</c:f>
              <c:numCache>
                <c:formatCode>General</c:formatCode>
                <c:ptCount val="8"/>
              </c:numCache>
            </c:numRef>
          </c:cat>
          <c:val>
            <c:numRef>
              <c:f>'Resumen Final'!$D$19:$I$19</c:f>
              <c:numCache>
                <c:formatCode>General</c:formatCode>
                <c:ptCount val="6"/>
                <c:pt idx="0">
                  <c:v>31.73</c:v>
                </c:pt>
                <c:pt idx="1">
                  <c:v>38.46</c:v>
                </c:pt>
                <c:pt idx="2">
                  <c:v>29</c:v>
                </c:pt>
                <c:pt idx="3">
                  <c:v>23.15</c:v>
                </c:pt>
                <c:pt idx="4">
                  <c:v>26.72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65-4598-BAF1-EFD2E3CCD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83200"/>
        <c:axId val="141514368"/>
      </c:lineChart>
      <c:catAx>
        <c:axId val="14168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layout/>
          <c:overlay val="0"/>
        </c:title>
        <c:numFmt formatCode="dd/mm/yyyy" sourceLinked="0"/>
        <c:majorTickMark val="none"/>
        <c:minorTickMark val="none"/>
        <c:tickLblPos val="nextTo"/>
        <c:txPr>
          <a:bodyPr rot="5400000"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514368"/>
        <c:crosses val="autoZero"/>
        <c:auto val="1"/>
        <c:lblAlgn val="ctr"/>
        <c:lblOffset val="100"/>
        <c:noMultiLvlLbl val="1"/>
      </c:catAx>
      <c:valAx>
        <c:axId val="141514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sz="800" b="1" i="0">
                    <a:solidFill>
                      <a:srgbClr val="000000"/>
                    </a:solidFill>
                    <a:latin typeface="Arial"/>
                  </a:rPr>
                  <a:t>Cantidad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683200"/>
        <c:crosses val="autoZero"/>
        <c:crossBetween val="between"/>
      </c:valAx>
      <c:spPr>
        <a:solidFill>
          <a:srgbClr val="C0C0C0"/>
        </a:solidFill>
      </c:spPr>
    </c:plotArea>
    <c:legend>
      <c:legendPos val="r"/>
      <c:layout/>
      <c:overlay val="0"/>
      <c:txPr>
        <a:bodyPr/>
        <a:lstStyle/>
        <a:p>
          <a:pPr lvl="0">
            <a:defRPr sz="8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r>
              <a:rPr lang="es-AR" sz="800" b="0" i="0">
                <a:solidFill>
                  <a:srgbClr val="000000"/>
                </a:solidFill>
                <a:latin typeface="Arial"/>
              </a:rPr>
              <a:t>Encintado envase primario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Encintados</c:v>
          </c:tx>
          <c:spPr>
            <a:ln w="9525" cmpd="sng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'Resumen Final'!$D$5:$H$5</c:f>
              <c:numCache>
                <c:formatCode>m/d/yyyy</c:formatCode>
                <c:ptCount val="5"/>
                <c:pt idx="0">
                  <c:v>46301</c:v>
                </c:pt>
                <c:pt idx="1">
                  <c:v>46302</c:v>
                </c:pt>
                <c:pt idx="2">
                  <c:v>46303</c:v>
                </c:pt>
                <c:pt idx="3">
                  <c:v>46297</c:v>
                </c:pt>
                <c:pt idx="4">
                  <c:v>46298</c:v>
                </c:pt>
              </c:numCache>
            </c:numRef>
          </c:cat>
          <c:val>
            <c:numRef>
              <c:f>'Resumen Final'!$D$6:$H$6</c:f>
              <c:numCache>
                <c:formatCode>General</c:formatCode>
                <c:ptCount val="5"/>
                <c:pt idx="0">
                  <c:v>1.92</c:v>
                </c:pt>
                <c:pt idx="1">
                  <c:v>0</c:v>
                </c:pt>
                <c:pt idx="2">
                  <c:v>0</c:v>
                </c:pt>
                <c:pt idx="3">
                  <c:v>3.7</c:v>
                </c:pt>
                <c:pt idx="4">
                  <c:v>1.72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585-4624-8455-9B1125A56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81664"/>
        <c:axId val="141516096"/>
      </c:lineChart>
      <c:dateAx>
        <c:axId val="141681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layout/>
          <c:overlay val="0"/>
        </c:title>
        <c:numFmt formatCode="dd/mm/yyyy" sourceLinked="0"/>
        <c:majorTickMark val="none"/>
        <c:minorTickMark val="none"/>
        <c:tickLblPos val="nextTo"/>
        <c:txPr>
          <a:bodyPr rot="5400000"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516096"/>
        <c:crosses val="autoZero"/>
        <c:auto val="1"/>
        <c:lblOffset val="100"/>
        <c:baseTimeUnit val="days"/>
      </c:dateAx>
      <c:valAx>
        <c:axId val="141516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sz="800" b="1" i="0">
                    <a:solidFill>
                      <a:srgbClr val="000000"/>
                    </a:solidFill>
                    <a:latin typeface="Arial"/>
                  </a:rPr>
                  <a:t>Cantidad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681664"/>
        <c:crosses val="autoZero"/>
        <c:crossBetween val="between"/>
      </c:valAx>
      <c:spPr>
        <a:solidFill>
          <a:srgbClr val="C0C0C0"/>
        </a:solidFill>
      </c:spPr>
    </c:plotArea>
    <c:legend>
      <c:legendPos val="r"/>
      <c:layout/>
      <c:overlay val="0"/>
      <c:txPr>
        <a:bodyPr/>
        <a:lstStyle/>
        <a:p>
          <a:pPr lvl="0">
            <a:defRPr sz="8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r>
              <a:rPr lang="es-AR" sz="800" b="0" i="0">
                <a:solidFill>
                  <a:srgbClr val="000000"/>
                </a:solidFill>
                <a:latin typeface="Arial"/>
              </a:rPr>
              <a:t>Envase Menudos 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Envase Menudos</c:v>
          </c:tx>
          <c:spPr>
            <a:ln w="9525" cmpd="sng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'Resumen Final'!$D$4:$K$4</c:f>
              <c:numCache>
                <c:formatCode>General</c:formatCode>
                <c:ptCount val="8"/>
              </c:numCache>
            </c:numRef>
          </c:cat>
          <c:val>
            <c:numRef>
              <c:f>'Resumen Final'!$D$6:$I$6</c:f>
              <c:numCache>
                <c:formatCode>General</c:formatCode>
                <c:ptCount val="6"/>
                <c:pt idx="0">
                  <c:v>1.92</c:v>
                </c:pt>
                <c:pt idx="1">
                  <c:v>0</c:v>
                </c:pt>
                <c:pt idx="2">
                  <c:v>0</c:v>
                </c:pt>
                <c:pt idx="3">
                  <c:v>3.7</c:v>
                </c:pt>
                <c:pt idx="4">
                  <c:v>1.72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FD5-41E2-A817-0FCBDE439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84224"/>
        <c:axId val="141812864"/>
      </c:lineChart>
      <c:catAx>
        <c:axId val="141684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layout/>
          <c:overlay val="0"/>
        </c:title>
        <c:numFmt formatCode="dd/mm/yyyy" sourceLinked="0"/>
        <c:majorTickMark val="none"/>
        <c:minorTickMark val="none"/>
        <c:tickLblPos val="nextTo"/>
        <c:txPr>
          <a:bodyPr rot="5400000"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812864"/>
        <c:crosses val="autoZero"/>
        <c:auto val="1"/>
        <c:lblAlgn val="ctr"/>
        <c:lblOffset val="100"/>
        <c:noMultiLvlLbl val="1"/>
      </c:catAx>
      <c:valAx>
        <c:axId val="141812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sz="800" b="1" i="0">
                    <a:solidFill>
                      <a:srgbClr val="000000"/>
                    </a:solidFill>
                    <a:latin typeface="Arial"/>
                  </a:rPr>
                  <a:t>Cantidad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684224"/>
        <c:crosses val="autoZero"/>
        <c:crossBetween val="between"/>
      </c:valAx>
      <c:spPr>
        <a:solidFill>
          <a:srgbClr val="C0C0C0"/>
        </a:solidFill>
      </c:spPr>
    </c:plotArea>
    <c:legend>
      <c:legendPos val="r"/>
      <c:layout/>
      <c:overlay val="0"/>
      <c:txPr>
        <a:bodyPr/>
        <a:lstStyle/>
        <a:p>
          <a:pPr lvl="0">
            <a:defRPr sz="8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22</xdr:row>
      <xdr:rowOff>38100</xdr:rowOff>
    </xdr:from>
    <xdr:ext cx="2600325" cy="1847850"/>
    <xdr:graphicFrame macro="">
      <xdr:nvGraphicFramePr>
        <xdr:cNvPr id="1892836131" name="Chart 1">
          <a:extLst>
            <a:ext uri="{FF2B5EF4-FFF2-40B4-BE49-F238E27FC236}">
              <a16:creationId xmlns:a16="http://schemas.microsoft.com/office/drawing/2014/main" xmlns="" id="{00000000-0008-0000-0000-00002363D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228602</xdr:colOff>
      <xdr:row>22</xdr:row>
      <xdr:rowOff>47625</xdr:rowOff>
    </xdr:from>
    <xdr:ext cx="2924174" cy="1714501"/>
    <xdr:graphicFrame macro="">
      <xdr:nvGraphicFramePr>
        <xdr:cNvPr id="226831782" name="Chart 2" title="Gráfico">
          <a:extLst>
            <a:ext uri="{FF2B5EF4-FFF2-40B4-BE49-F238E27FC236}">
              <a16:creationId xmlns:a16="http://schemas.microsoft.com/office/drawing/2014/main" xmlns="" id="{00000000-0008-0000-0000-0000A62D8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190500</xdr:colOff>
      <xdr:row>34</xdr:row>
      <xdr:rowOff>66675</xdr:rowOff>
    </xdr:from>
    <xdr:ext cx="2857500" cy="2286000"/>
    <xdr:graphicFrame macro="">
      <xdr:nvGraphicFramePr>
        <xdr:cNvPr id="798990389" name="Chart 3" title="Gráfico">
          <a:extLst>
            <a:ext uri="{FF2B5EF4-FFF2-40B4-BE49-F238E27FC236}">
              <a16:creationId xmlns:a16="http://schemas.microsoft.com/office/drawing/2014/main" xmlns="" id="{00000000-0008-0000-0000-000035A09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180975</xdr:colOff>
      <xdr:row>33</xdr:row>
      <xdr:rowOff>28574</xdr:rowOff>
    </xdr:from>
    <xdr:ext cx="3028950" cy="2295526"/>
    <xdr:graphicFrame macro="">
      <xdr:nvGraphicFramePr>
        <xdr:cNvPr id="477057072" name="Chart 4" title="Gráfico">
          <a:extLst>
            <a:ext uri="{FF2B5EF4-FFF2-40B4-BE49-F238E27FC236}">
              <a16:creationId xmlns:a16="http://schemas.microsoft.com/office/drawing/2014/main" xmlns="" id="{00000000-0008-0000-0000-000030506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53</xdr:row>
      <xdr:rowOff>228600</xdr:rowOff>
    </xdr:from>
    <xdr:ext cx="2619375" cy="1409700"/>
    <xdr:graphicFrame macro="">
      <xdr:nvGraphicFramePr>
        <xdr:cNvPr id="1729220162" name="Chart 5" title="Gráfico">
          <a:extLst>
            <a:ext uri="{FF2B5EF4-FFF2-40B4-BE49-F238E27FC236}">
              <a16:creationId xmlns:a16="http://schemas.microsoft.com/office/drawing/2014/main" xmlns="" id="{00000000-0008-0000-0000-000042CE1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238125</xdr:colOff>
      <xdr:row>59</xdr:row>
      <xdr:rowOff>85724</xdr:rowOff>
    </xdr:from>
    <xdr:ext cx="2476500" cy="1762125"/>
    <xdr:graphicFrame macro="">
      <xdr:nvGraphicFramePr>
        <xdr:cNvPr id="782869253" name="Chart 6" title="Gráfico">
          <a:extLst>
            <a:ext uri="{FF2B5EF4-FFF2-40B4-BE49-F238E27FC236}">
              <a16:creationId xmlns:a16="http://schemas.microsoft.com/office/drawing/2014/main" xmlns="" id="{00000000-0008-0000-0000-000005A3A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</xdr:col>
      <xdr:colOff>1038225</xdr:colOff>
      <xdr:row>53</xdr:row>
      <xdr:rowOff>123824</xdr:rowOff>
    </xdr:from>
    <xdr:ext cx="3305175" cy="1419225"/>
    <xdr:graphicFrame macro="">
      <xdr:nvGraphicFramePr>
        <xdr:cNvPr id="1469196001" name="Chart 7" title="Gráfico">
          <a:extLst>
            <a:ext uri="{FF2B5EF4-FFF2-40B4-BE49-F238E27FC236}">
              <a16:creationId xmlns:a16="http://schemas.microsoft.com/office/drawing/2014/main" xmlns="" id="{00000000-0008-0000-0000-0000E1269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0</xdr:col>
      <xdr:colOff>47625</xdr:colOff>
      <xdr:row>71</xdr:row>
      <xdr:rowOff>66675</xdr:rowOff>
    </xdr:from>
    <xdr:ext cx="2905125" cy="2228850"/>
    <xdr:graphicFrame macro="">
      <xdr:nvGraphicFramePr>
        <xdr:cNvPr id="1481558067" name="Chart 8" title="Gráfico">
          <a:extLst>
            <a:ext uri="{FF2B5EF4-FFF2-40B4-BE49-F238E27FC236}">
              <a16:creationId xmlns:a16="http://schemas.microsoft.com/office/drawing/2014/main" xmlns="" id="{00000000-0008-0000-0000-000033C84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</xdr:col>
      <xdr:colOff>1057276</xdr:colOff>
      <xdr:row>58</xdr:row>
      <xdr:rowOff>114299</xdr:rowOff>
    </xdr:from>
    <xdr:ext cx="3257550" cy="1781175"/>
    <xdr:graphicFrame macro="">
      <xdr:nvGraphicFramePr>
        <xdr:cNvPr id="1644214489" name="Chart 9" title="Gráfico">
          <a:extLst>
            <a:ext uri="{FF2B5EF4-FFF2-40B4-BE49-F238E27FC236}">
              <a16:creationId xmlns:a16="http://schemas.microsoft.com/office/drawing/2014/main" xmlns="" id="{00000000-0008-0000-0000-0000D9B80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3</xdr:col>
      <xdr:colOff>295275</xdr:colOff>
      <xdr:row>69</xdr:row>
      <xdr:rowOff>152400</xdr:rowOff>
    </xdr:from>
    <xdr:ext cx="2905125" cy="2152650"/>
    <xdr:graphicFrame macro="">
      <xdr:nvGraphicFramePr>
        <xdr:cNvPr id="486810196" name="Chart 10" title="Gráfico">
          <a:extLst>
            <a:ext uri="{FF2B5EF4-FFF2-40B4-BE49-F238E27FC236}">
              <a16:creationId xmlns:a16="http://schemas.microsoft.com/office/drawing/2014/main" xmlns="" id="{00000000-0008-0000-0000-000054220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97"/>
  <sheetViews>
    <sheetView tabSelected="1" workbookViewId="0">
      <selection activeCell="K7" sqref="K7"/>
    </sheetView>
  </sheetViews>
  <sheetFormatPr baseColWidth="10" defaultColWidth="12.5703125" defaultRowHeight="15" customHeight="1" x14ac:dyDescent="0.2"/>
  <cols>
    <col min="1" max="1" width="7.7109375" customWidth="1"/>
    <col min="2" max="2" width="19" customWidth="1"/>
    <col min="3" max="3" width="14.42578125" customWidth="1"/>
    <col min="4" max="4" width="11.85546875" customWidth="1"/>
    <col min="5" max="5" width="13.140625" customWidth="1"/>
    <col min="6" max="6" width="11.28515625" bestFit="1" customWidth="1"/>
    <col min="7" max="8" width="11.28515625" customWidth="1"/>
    <col min="9" max="9" width="3.5703125" customWidth="1"/>
    <col min="10" max="10" width="12.5703125" customWidth="1"/>
    <col min="11" max="11" width="11.140625" customWidth="1"/>
    <col min="12" max="29" width="10.5703125" customWidth="1"/>
  </cols>
  <sheetData>
    <row r="1" spans="2:18" ht="8.25" customHeight="1" x14ac:dyDescent="0.2">
      <c r="F1">
        <v>3</v>
      </c>
    </row>
    <row r="2" spans="2:18" ht="25.5" customHeight="1" x14ac:dyDescent="0.25">
      <c r="B2" s="12" t="s">
        <v>0</v>
      </c>
      <c r="C2" s="12"/>
      <c r="D2" s="13"/>
      <c r="E2" s="13"/>
      <c r="F2" s="13"/>
      <c r="G2" s="13"/>
      <c r="H2" s="13"/>
      <c r="I2" s="13"/>
      <c r="J2" s="13"/>
      <c r="K2" s="1"/>
    </row>
    <row r="3" spans="2:18" ht="12.75" customHeight="1" x14ac:dyDescent="0.2"/>
    <row r="4" spans="2:18" ht="15" customHeight="1" x14ac:dyDescent="0.25">
      <c r="B4" s="14" t="s">
        <v>19</v>
      </c>
      <c r="C4" s="14"/>
      <c r="D4" s="14"/>
      <c r="E4" s="14"/>
      <c r="F4" s="14"/>
      <c r="G4" s="14"/>
      <c r="H4" s="14"/>
      <c r="I4" s="14"/>
      <c r="J4" s="14"/>
      <c r="N4" s="2"/>
      <c r="O4" s="2"/>
      <c r="P4" s="2"/>
      <c r="Q4" s="2"/>
      <c r="R4" s="2"/>
    </row>
    <row r="5" spans="2:18" ht="15" customHeight="1" x14ac:dyDescent="0.25">
      <c r="B5" s="7" t="s">
        <v>1</v>
      </c>
      <c r="C5" s="11">
        <v>46300</v>
      </c>
      <c r="D5" s="8">
        <v>46301</v>
      </c>
      <c r="E5" s="8">
        <v>46302</v>
      </c>
      <c r="F5" s="8">
        <v>46303</v>
      </c>
      <c r="G5" s="8">
        <v>46297</v>
      </c>
      <c r="H5" s="8">
        <v>46298</v>
      </c>
      <c r="L5" s="2"/>
      <c r="M5" s="2"/>
      <c r="N5" s="2"/>
      <c r="O5" s="2"/>
      <c r="P5" s="2"/>
    </row>
    <row r="6" spans="2:18" ht="15" customHeight="1" x14ac:dyDescent="0.2">
      <c r="B6" s="3" t="s">
        <v>2</v>
      </c>
      <c r="C6" s="4">
        <v>3.85</v>
      </c>
      <c r="D6" s="4">
        <v>1.92</v>
      </c>
      <c r="E6" s="4">
        <v>0</v>
      </c>
      <c r="F6" s="4">
        <v>0</v>
      </c>
      <c r="G6" s="4">
        <v>3.7</v>
      </c>
      <c r="H6" s="4">
        <v>1.72</v>
      </c>
      <c r="L6" s="2"/>
      <c r="M6" s="2"/>
      <c r="N6" s="2"/>
      <c r="O6" s="2"/>
      <c r="P6" s="2"/>
    </row>
    <row r="7" spans="2:18" ht="15" customHeight="1" x14ac:dyDescent="0.2">
      <c r="B7" s="3" t="s">
        <v>3</v>
      </c>
      <c r="C7" s="4">
        <v>0</v>
      </c>
      <c r="D7" s="4">
        <v>0</v>
      </c>
      <c r="E7" s="4">
        <v>1.92</v>
      </c>
      <c r="F7" s="4">
        <v>0</v>
      </c>
      <c r="G7" s="4">
        <v>1.85</v>
      </c>
      <c r="H7" s="4">
        <v>0</v>
      </c>
      <c r="J7" s="2" t="s">
        <v>18</v>
      </c>
      <c r="L7" s="2"/>
      <c r="M7" s="2"/>
      <c r="N7" s="2"/>
      <c r="O7" s="2"/>
      <c r="P7" s="2"/>
    </row>
    <row r="8" spans="2:18" ht="15" customHeight="1" x14ac:dyDescent="0.2">
      <c r="B8" s="3" t="s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L8" s="2"/>
      <c r="M8" s="2"/>
      <c r="N8" s="2"/>
      <c r="O8" s="2"/>
      <c r="P8" s="2"/>
    </row>
    <row r="9" spans="2:18" ht="15" customHeight="1" x14ac:dyDescent="0.2">
      <c r="B9" s="3" t="s">
        <v>5</v>
      </c>
      <c r="C9" s="4">
        <v>5.77</v>
      </c>
      <c r="D9" s="4">
        <v>9.6199999999999992</v>
      </c>
      <c r="E9" s="4">
        <v>5.77</v>
      </c>
      <c r="F9" s="4">
        <v>20</v>
      </c>
      <c r="G9" s="4">
        <v>5.55</v>
      </c>
      <c r="H9" s="4">
        <v>6.9</v>
      </c>
      <c r="L9" s="2"/>
      <c r="M9" s="2"/>
      <c r="N9" s="2"/>
      <c r="O9" s="2"/>
      <c r="P9" s="2"/>
    </row>
    <row r="10" spans="2:18" ht="15" customHeight="1" x14ac:dyDescent="0.2">
      <c r="B10" s="3" t="s">
        <v>6</v>
      </c>
      <c r="C10" s="4">
        <v>9.6199999999999992</v>
      </c>
      <c r="D10" s="4">
        <v>7.69</v>
      </c>
      <c r="E10" s="4">
        <v>3.85</v>
      </c>
      <c r="F10" s="4">
        <v>8</v>
      </c>
      <c r="G10" s="4">
        <v>3.7</v>
      </c>
      <c r="H10" s="4">
        <v>3.45</v>
      </c>
      <c r="L10" s="2"/>
      <c r="M10" s="2"/>
      <c r="N10" s="2"/>
      <c r="O10" s="2"/>
      <c r="P10" s="2"/>
    </row>
    <row r="11" spans="2:18" ht="15" customHeight="1" x14ac:dyDescent="0.2">
      <c r="B11" s="3" t="s">
        <v>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L11" s="2"/>
      <c r="M11" s="2"/>
      <c r="N11" s="2"/>
      <c r="O11" s="2"/>
      <c r="P11" s="2"/>
    </row>
    <row r="12" spans="2:18" ht="15" customHeight="1" x14ac:dyDescent="0.2">
      <c r="B12" s="3" t="s">
        <v>8</v>
      </c>
      <c r="C12" s="4">
        <v>0</v>
      </c>
      <c r="D12" s="4">
        <v>0</v>
      </c>
      <c r="E12" s="4">
        <v>1.92</v>
      </c>
      <c r="F12" s="4">
        <v>0</v>
      </c>
      <c r="G12" s="4">
        <v>0</v>
      </c>
      <c r="H12" s="4">
        <v>0</v>
      </c>
      <c r="L12" s="2"/>
      <c r="M12" s="2"/>
      <c r="N12" s="2"/>
      <c r="O12" s="2"/>
      <c r="P12" s="2"/>
    </row>
    <row r="13" spans="2:18" ht="12.75" customHeight="1" x14ac:dyDescent="0.2">
      <c r="B13" s="3" t="s">
        <v>9</v>
      </c>
      <c r="C13" s="4">
        <v>0</v>
      </c>
      <c r="D13" s="4">
        <v>1.92</v>
      </c>
      <c r="E13" s="4">
        <v>0</v>
      </c>
      <c r="F13" s="4">
        <v>0</v>
      </c>
      <c r="G13" s="4">
        <v>0</v>
      </c>
      <c r="H13" s="4">
        <v>0</v>
      </c>
      <c r="L13" s="2"/>
      <c r="M13" s="2"/>
      <c r="N13" s="2"/>
      <c r="O13" s="2"/>
      <c r="P13" s="2"/>
    </row>
    <row r="14" spans="2:18" ht="12.75" customHeight="1" x14ac:dyDescent="0.2">
      <c r="B14" s="3" t="s">
        <v>17</v>
      </c>
      <c r="C14" s="6">
        <v>1.92</v>
      </c>
      <c r="D14" s="6">
        <v>1.92</v>
      </c>
      <c r="E14" s="6">
        <v>0</v>
      </c>
      <c r="F14" s="4">
        <v>2</v>
      </c>
      <c r="G14" s="4">
        <v>3.7</v>
      </c>
      <c r="H14" s="4">
        <v>1.72</v>
      </c>
      <c r="L14" s="2"/>
      <c r="M14" s="2"/>
      <c r="N14" s="2"/>
      <c r="O14" s="2"/>
      <c r="P14" s="2"/>
    </row>
    <row r="15" spans="2:18" ht="15" customHeight="1" x14ac:dyDescent="0.2">
      <c r="B15" s="3" t="s">
        <v>10</v>
      </c>
      <c r="C15" s="4">
        <v>0</v>
      </c>
      <c r="D15" s="4">
        <v>1.92</v>
      </c>
      <c r="E15" s="4">
        <v>0</v>
      </c>
      <c r="F15" s="4">
        <v>0</v>
      </c>
      <c r="G15" s="4">
        <v>0</v>
      </c>
      <c r="H15" s="4">
        <v>0</v>
      </c>
      <c r="L15" s="2"/>
      <c r="M15" s="2"/>
      <c r="N15" s="2"/>
      <c r="O15" s="2"/>
      <c r="P15" s="2"/>
    </row>
    <row r="16" spans="2:18" ht="15" customHeight="1" x14ac:dyDescent="0.2">
      <c r="B16" s="3" t="s">
        <v>11</v>
      </c>
      <c r="C16" s="4">
        <v>1.92</v>
      </c>
      <c r="D16" s="4">
        <v>0</v>
      </c>
      <c r="E16" s="4">
        <v>0</v>
      </c>
      <c r="F16" s="4">
        <v>0</v>
      </c>
      <c r="G16" s="4">
        <v>3.7</v>
      </c>
      <c r="H16" s="4">
        <v>5.17</v>
      </c>
      <c r="L16" s="2"/>
      <c r="M16" s="2"/>
      <c r="N16" s="2"/>
      <c r="O16" s="2"/>
      <c r="P16" s="2"/>
    </row>
    <row r="17" spans="2:16" ht="15" customHeight="1" x14ac:dyDescent="0.2">
      <c r="B17" s="3" t="s">
        <v>12</v>
      </c>
      <c r="C17" s="4">
        <v>0</v>
      </c>
      <c r="D17" s="6">
        <v>5.77</v>
      </c>
      <c r="E17" s="6">
        <v>0</v>
      </c>
      <c r="F17" s="4">
        <v>0</v>
      </c>
      <c r="G17" s="4">
        <v>0</v>
      </c>
      <c r="H17" s="4">
        <v>0</v>
      </c>
      <c r="L17" s="2"/>
      <c r="M17" s="2"/>
      <c r="N17" s="2"/>
      <c r="O17" s="2"/>
      <c r="P17" s="2"/>
    </row>
    <row r="18" spans="2:16" ht="15" customHeight="1" x14ac:dyDescent="0.2">
      <c r="B18" s="3" t="s">
        <v>13</v>
      </c>
      <c r="C18" s="4">
        <v>0</v>
      </c>
      <c r="D18" s="6">
        <v>0</v>
      </c>
      <c r="E18" s="6">
        <v>0</v>
      </c>
      <c r="F18" s="4">
        <v>0</v>
      </c>
      <c r="G18" s="4">
        <v>0</v>
      </c>
      <c r="H18" s="4">
        <v>0</v>
      </c>
      <c r="L18" s="2"/>
      <c r="M18" s="2"/>
      <c r="N18" s="2"/>
      <c r="O18" s="2"/>
      <c r="P18" s="2"/>
    </row>
    <row r="19" spans="2:16" ht="15" customHeight="1" x14ac:dyDescent="0.2">
      <c r="B19" s="3" t="s">
        <v>14</v>
      </c>
      <c r="C19" s="4">
        <v>42.31</v>
      </c>
      <c r="D19" s="6">
        <v>31.73</v>
      </c>
      <c r="E19" s="4">
        <v>38.46</v>
      </c>
      <c r="F19" s="4">
        <v>29</v>
      </c>
      <c r="G19" s="4">
        <v>23.15</v>
      </c>
      <c r="H19" s="4">
        <v>26.72</v>
      </c>
      <c r="L19" s="2"/>
      <c r="M19" s="2"/>
      <c r="N19" s="2"/>
      <c r="O19" s="2"/>
      <c r="P19" s="2"/>
    </row>
    <row r="20" spans="2:16" ht="15" customHeight="1" x14ac:dyDescent="0.2">
      <c r="B20" s="3" t="s">
        <v>15</v>
      </c>
      <c r="C20" s="5">
        <f>+(20260+20140+20240+20160+20200+20160+20320+20220)/8</f>
        <v>20212.5</v>
      </c>
      <c r="D20" s="10">
        <f>+(20100+20080+20260+20380+20220+20260+20240+20200)/8</f>
        <v>20217.5</v>
      </c>
      <c r="E20" s="5">
        <f>+(20100+20140+20160+20060+20260+20060+20180+20220)/8</f>
        <v>20147.5</v>
      </c>
      <c r="F20" s="9">
        <f>+(20100+20260+20300+20100+20220+20300+20260+20240)/8</f>
        <v>20222.5</v>
      </c>
      <c r="G20" s="9">
        <f>+(20060+20080+20100+20180+20140+20140+20080+20100)/8</f>
        <v>20110</v>
      </c>
      <c r="H20" s="9">
        <f>+(20160+20140+20260+20120+20180+20100+20080+20060)/8</f>
        <v>20137.5</v>
      </c>
    </row>
    <row r="21" spans="2:16" ht="12.75" customHeight="1" x14ac:dyDescent="0.2">
      <c r="B21" s="3" t="s">
        <v>16</v>
      </c>
      <c r="C21" s="4">
        <v>52</v>
      </c>
      <c r="D21" s="4">
        <v>52</v>
      </c>
      <c r="E21" s="4">
        <v>52</v>
      </c>
      <c r="F21" s="4">
        <v>50</v>
      </c>
      <c r="G21" s="4">
        <v>54</v>
      </c>
      <c r="H21" s="4">
        <v>58</v>
      </c>
    </row>
    <row r="22" spans="2:16" ht="12.75" customHeight="1" x14ac:dyDescent="0.2"/>
    <row r="23" spans="2:16" ht="12.75" customHeight="1" x14ac:dyDescent="0.2"/>
    <row r="24" spans="2:16" ht="12.75" customHeight="1" x14ac:dyDescent="0.2"/>
    <row r="25" spans="2:16" ht="12.75" customHeight="1" x14ac:dyDescent="0.2"/>
    <row r="26" spans="2:16" ht="12.75" customHeight="1" x14ac:dyDescent="0.2"/>
    <row r="27" spans="2:16" ht="12.75" customHeight="1" x14ac:dyDescent="0.2"/>
    <row r="28" spans="2:16" ht="12.75" customHeight="1" x14ac:dyDescent="0.2"/>
    <row r="29" spans="2:16" ht="12.75" customHeight="1" x14ac:dyDescent="0.2"/>
    <row r="30" spans="2:16" ht="12.75" customHeight="1" x14ac:dyDescent="0.2"/>
    <row r="31" spans="2:16" ht="12.75" customHeight="1" x14ac:dyDescent="0.2"/>
    <row r="32" spans="2:1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82.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30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mergeCells count="2">
    <mergeCell ref="B2:J2"/>
    <mergeCell ref="B4:J4"/>
  </mergeCells>
  <pageMargins left="0.25" right="0.25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Final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Afip Pc</cp:lastModifiedBy>
  <cp:lastPrinted>2026-10-03T15:19:26Z</cp:lastPrinted>
  <dcterms:created xsi:type="dcterms:W3CDTF">2014-09-29T19:34:27Z</dcterms:created>
  <dcterms:modified xsi:type="dcterms:W3CDTF">2026-10-09T11:04:07Z</dcterms:modified>
</cp:coreProperties>
</file>